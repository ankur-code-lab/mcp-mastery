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bin" ContentType="application/vnd.ms-office.vbaProject"/>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2.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support_tickets_data" sheetId="1" r:id="rId3" state="visible"/>
    <sheet name="Results" sheetId="2" r:id="rId5"/>
  </sheets>
  <calcPr iterateCount="100" iterateDelta="0.0001" refMode="A1"/>
  <extLst>
    <ext xmlns:loext="http://schemas.libreoffice.org/" uri="{7626C862-2A13-11E5-B345-FEFF819CDC9F}">
      <loext:extCalcPr stringRefSyntax="ExcelA1"/>
    </ext>
  </extLst>
</workbook>
</file>

<file path=xl/sharedStrings.xml><?xml version="1.0" encoding="utf-8"?>
<sst xmlns="http://schemas.openxmlformats.org/spreadsheetml/2006/main" count="161" uniqueCount="161">
  <si>
    <t xml:space="preserve">ticket_id</t>
  </si>
  <si>
    <t xml:space="preserve">customer_id</t>
  </si>
  <si>
    <t xml:space="preserve">issue_type</t>
  </si>
  <si>
    <t xml:space="preserve">issue_description</t>
  </si>
  <si>
    <t xml:space="preserve">priority</t>
  </si>
  <si>
    <t xml:space="preserve">date_submitted</t>
  </si>
  <si>
    <t xml:space="preserve">response_time_minutes</t>
  </si>
  <si>
    <t xml:space="preserve">resolution_time_minutes</t>
  </si>
  <si>
    <t xml:space="preserve">satisfaction_rating</t>
  </si>
  <si>
    <t xml:space="preserve">customer_comments</t>
  </si>
  <si>
    <t xml:space="preserve">agent_id</t>
  </si>
  <si>
    <t xml:space="preserve">resolved</t>
  </si>
  <si>
    <t xml:space="preserve">T0001</t>
  </si>
  <si>
    <t xml:space="preserve">C0511</t>
  </si>
  <si>
    <t xml:space="preserve">API Issue</t>
  </si>
  <si>
    <t xml:space="preserve">I'm pleased with how my issue was handled. Thanks!</t>
  </si>
  <si>
    <t xml:space="preserve">High</t>
  </si>
  <si>
    <t xml:space="preserve">A004</t>
  </si>
  <si>
    <t xml:space="preserve">T0002</t>
  </si>
  <si>
    <t xml:space="preserve">C0729</t>
  </si>
  <si>
    <t xml:space="preserve">Login Issue</t>
  </si>
  <si>
    <t xml:space="preserve">Excellent service! The agent went above and beyond.</t>
  </si>
  <si>
    <t xml:space="preserve">Low</t>
  </si>
  <si>
    <t xml:space="preserve">The problem still persists. Not resolved yet.</t>
  </si>
  <si>
    <t xml:space="preserve">T0003</t>
  </si>
  <si>
    <t xml:space="preserve">C0439</t>
  </si>
  <si>
    <t xml:space="preserve">Report Generation</t>
  </si>
  <si>
    <t xml:space="preserve">Resolution was satisfactory but could be improved.</t>
  </si>
  <si>
    <t xml:space="preserve">The issue was escalated quickly, which was appreciated.</t>
  </si>
  <si>
    <t xml:space="preserve">T0004</t>
  </si>
  <si>
    <t xml:space="preserve">C0100</t>
  </si>
  <si>
    <t xml:space="preserve">Data Import</t>
  </si>
  <si>
    <t xml:space="preserve">Agent was very helpful and polite. Great service!</t>
  </si>
  <si>
    <t xml:space="preserve">The issue was resolved quickly. Very satisfied!</t>
  </si>
  <si>
    <t xml:space="preserve">A003</t>
  </si>
  <si>
    <t xml:space="preserve">T0005</t>
  </si>
  <si>
    <t xml:space="preserve">C0258</t>
  </si>
  <si>
    <t xml:space="preserve">Feature Request</t>
  </si>
  <si>
    <t xml:space="preserve">My issue was handled well, but follow-up could be better.</t>
  </si>
  <si>
    <t xml:space="preserve">Medium</t>
  </si>
  <si>
    <t xml:space="preserve">T0006</t>
  </si>
  <si>
    <t xml:space="preserve">C0526</t>
  </si>
  <si>
    <t xml:space="preserve">It took too long to resolve the issue. Not happy.</t>
  </si>
  <si>
    <t xml:space="preserve">This is the second time I'm facing this issue. Frustrating!</t>
  </si>
  <si>
    <t xml:space="preserve">A002</t>
  </si>
  <si>
    <t xml:space="preserve">T0007</t>
  </si>
  <si>
    <t xml:space="preserve">C0415</t>
  </si>
  <si>
    <t xml:space="preserve">The support team was unresponsive at first.</t>
  </si>
  <si>
    <t xml:space="preserve">A001</t>
  </si>
  <si>
    <t xml:space="preserve">T0008</t>
  </si>
  <si>
    <t xml:space="preserve">C0602</t>
  </si>
  <si>
    <t xml:space="preserve">Critical</t>
  </si>
  <si>
    <t xml:space="preserve">Good support but the resolution could have been faster.</t>
  </si>
  <si>
    <t xml:space="preserve">T0009</t>
  </si>
  <si>
    <t xml:space="preserve">C0934</t>
  </si>
  <si>
    <t xml:space="preserve">T0010</t>
  </si>
  <si>
    <t xml:space="preserve">C0410</t>
  </si>
  <si>
    <t xml:space="preserve">This was a critical issue that took too long to resolve.</t>
  </si>
  <si>
    <t xml:space="preserve">T0011</t>
  </si>
  <si>
    <t xml:space="preserve">C0966</t>
  </si>
  <si>
    <t xml:space="preserve">The issue was ignored for too long. Disappointing.</t>
  </si>
  <si>
    <t xml:space="preserve">T0012</t>
  </si>
  <si>
    <t xml:space="preserve">C0342</t>
  </si>
  <si>
    <t xml:space="preserve">Billing Issue</t>
  </si>
  <si>
    <t xml:space="preserve">T0013</t>
  </si>
  <si>
    <t xml:space="preserve">C0942</t>
  </si>
  <si>
    <t xml:space="preserve">T0014</t>
  </si>
  <si>
    <t xml:space="preserve">C0192</t>
  </si>
  <si>
    <t xml:space="preserve">Thank you for resolving my issue quickly.</t>
  </si>
  <si>
    <t xml:space="preserve">Still waiting for a resolution. Not happy with the delay.</t>
  </si>
  <si>
    <t xml:space="preserve">T0015</t>
  </si>
  <si>
    <t xml:space="preserve">C0270</t>
  </si>
  <si>
    <t xml:space="preserve">The agent understood my problem and solved it efficiently.</t>
  </si>
  <si>
    <t xml:space="preserve">T0016</t>
  </si>
  <si>
    <t xml:space="preserve">C0836</t>
  </si>
  <si>
    <t xml:space="preserve">T0017</t>
  </si>
  <si>
    <t xml:space="preserve">C0218</t>
  </si>
  <si>
    <t xml:space="preserve">T0018</t>
  </si>
  <si>
    <t xml:space="preserve">C0481</t>
  </si>
  <si>
    <t xml:space="preserve">UI Bug</t>
  </si>
  <si>
    <t xml:space="preserve">Agent was knowledgeable and solved my issue efficiently.</t>
  </si>
  <si>
    <t xml:space="preserve">T0019</t>
  </si>
  <si>
    <t xml:space="preserve">C0108</t>
  </si>
  <si>
    <t xml:space="preserve">A005</t>
  </si>
  <si>
    <t xml:space="preserve">T0020</t>
  </si>
  <si>
    <t xml:space="preserve">C0202</t>
  </si>
  <si>
    <t xml:space="preserve">Happy with the response time but the resolution was lacking.</t>
  </si>
  <si>
    <t xml:space="preserve">T0021</t>
  </si>
  <si>
    <t xml:space="preserve">C0863</t>
  </si>
  <si>
    <t xml:space="preserve">T0022</t>
  </si>
  <si>
    <t xml:space="preserve">C0447</t>
  </si>
  <si>
    <t xml:space="preserve">T0023</t>
  </si>
  <si>
    <t xml:space="preserve">C0386</t>
  </si>
  <si>
    <t xml:space="preserve">T0024</t>
  </si>
  <si>
    <t xml:space="preserve">C0928</t>
  </si>
  <si>
    <t xml:space="preserve">T0025</t>
  </si>
  <si>
    <t xml:space="preserve">C0256</t>
  </si>
  <si>
    <t xml:space="preserve">T0026</t>
  </si>
  <si>
    <t xml:space="preserve">C0741</t>
  </si>
  <si>
    <t xml:space="preserve">T0027</t>
  </si>
  <si>
    <t xml:space="preserve">C0658</t>
  </si>
  <si>
    <t xml:space="preserve">T0028</t>
  </si>
  <si>
    <t xml:space="preserve">C0988</t>
  </si>
  <si>
    <t xml:space="preserve">Overall satisfied, but the process could be faster.</t>
  </si>
  <si>
    <t xml:space="preserve">T0029</t>
  </si>
  <si>
    <t xml:space="preserve">C0304</t>
  </si>
  <si>
    <t xml:space="preserve">T0030</t>
  </si>
  <si>
    <t xml:space="preserve">C0648</t>
  </si>
  <si>
    <t xml:space="preserve">T0031</t>
  </si>
  <si>
    <t xml:space="preserve">C0195</t>
  </si>
  <si>
    <t xml:space="preserve">T0032</t>
  </si>
  <si>
    <t xml:space="preserve">C0412</t>
  </si>
  <si>
    <t xml:space="preserve">T0033</t>
  </si>
  <si>
    <t xml:space="preserve">C0352</t>
  </si>
  <si>
    <t xml:space="preserve">T0034</t>
  </si>
  <si>
    <t xml:space="preserve">C0871</t>
  </si>
  <si>
    <t xml:space="preserve">T0035</t>
  </si>
  <si>
    <t xml:space="preserve">C0419</t>
  </si>
  <si>
    <t xml:space="preserve">T0036</t>
  </si>
  <si>
    <t xml:space="preserve">C0994</t>
  </si>
  <si>
    <t xml:space="preserve">T0037</t>
  </si>
  <si>
    <t xml:space="preserve">C0834</t>
  </si>
  <si>
    <t xml:space="preserve">T0038</t>
  </si>
  <si>
    <t xml:space="preserve">C0442</t>
  </si>
  <si>
    <t xml:space="preserve">T0039</t>
  </si>
  <si>
    <t xml:space="preserve">C0553</t>
  </si>
  <si>
    <t xml:space="preserve">T0040</t>
  </si>
  <si>
    <t xml:space="preserve">C0695</t>
  </si>
  <si>
    <t xml:space="preserve">T0041</t>
  </si>
  <si>
    <t xml:space="preserve">C0609</t>
  </si>
  <si>
    <t xml:space="preserve">T0042</t>
  </si>
  <si>
    <t xml:space="preserve">C0569</t>
  </si>
  <si>
    <t xml:space="preserve">T0043</t>
  </si>
  <si>
    <t xml:space="preserve">C0877</t>
  </si>
  <si>
    <t xml:space="preserve">T0044</t>
  </si>
  <si>
    <t xml:space="preserve">C0627</t>
  </si>
  <si>
    <t xml:space="preserve">T0045</t>
  </si>
  <si>
    <t xml:space="preserve">C0443</t>
  </si>
  <si>
    <t xml:space="preserve">T0046</t>
  </si>
  <si>
    <t xml:space="preserve">C0112</t>
  </si>
  <si>
    <t xml:space="preserve">T0047</t>
  </si>
  <si>
    <t xml:space="preserve">C0717</t>
  </si>
  <si>
    <t xml:space="preserve">T0048</t>
  </si>
  <si>
    <t xml:space="preserve">C0219</t>
  </si>
  <si>
    <t xml:space="preserve">T0049</t>
  </si>
  <si>
    <t xml:space="preserve">C0591</t>
  </si>
  <si>
    <t xml:space="preserve">T0050</t>
  </si>
  <si>
    <t xml:space="preserve">C0941</t>
  </si>
  <si>
    <t>Overall Metrics</t>
  </si>
  <si>
    <t>Value</t>
  </si>
  <si>
    <t/>
  </si>
  <si>
    <t>Total Tickets</t>
  </si>
  <si>
    <t>Resolved Tickets</t>
  </si>
  <si>
    <t>Resolution Rate</t>
  </si>
  <si>
    <t>Avg Satisfaction</t>
  </si>
  <si>
    <t>Issue Type</t>
  </si>
  <si>
    <t>Count</t>
  </si>
  <si>
    <t>Priority</t>
  </si>
  <si>
    <t>Avg Response Time (m)</t>
  </si>
  <si>
    <t>Avg Resolution Time (m)</t>
  </si>
  <si>
    <t>Agent 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</si>
</sst>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General"/>
    <numFmt numFmtId="165" formatCode="m/d/yyyy"/>
    <numFmt numFmtId="166" formatCode="General"/>
  </numFmts>
  <fonts count="4">
    <font>
      <name val="Aptos Narrow"/>
      <charset val="1"/>
      <family val="2"/>
      <color theme="1"/>
      <sz val="11"/>
    </font>
    <font>
      <name val="Arial"/>
      <family val="0"/>
      <sz val="10"/>
    </font>
    <font>
      <name val="Arial"/>
      <family val="0"/>
      <sz val="10"/>
    </font>
    <font>
      <name val="Arial"/>
      <family val="0"/>
      <sz val="10"/>
    </font>
  </fonts>
  <fills count="2">
    <fill>
      <patternFill patternType="none"/>
    </fill>
    <fill>
      <patternFill patternType="gray125"/>
    </fill>
  </fills>
  <borders count="1">
    <border>
      <left/>
      <right/>
      <top/>
      <bottom/>
      <diagonal/>
    </border>
  </borders>
  <cellStyleXfs count="20">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protection hidden="false" locked="true"/>
    </xf>
    <xf numFmtId="165" fontId="0" fillId="0" borderId="0" xfId="0" applyFont="false" applyBorder="false" applyAlignment="false" applyProtection="false">
      <alignment horizontal="general" vertical="bottom"/>
      <protection hidden="false" locked="true"/>
    </xf>
    <xf numFmtId="164" fontId="0" fillId="0" borderId="0" xfId="0" applyFont="true" applyBorder="false" applyAlignment="false" applyProtection="false">
      <alignment horizontal="general" vertical="bottom"/>
      <protection hidden="false" locked="true"/>
    </xf>
    <xf numFmtId="166" fontId="0" fillId="0" borderId="0" xfId="0" applyFont="false" applyBorder="false" applyAlignment="false" applyProtection="false">
      <alignment horizontal="general" vertical="bottom"/>
      <protection hidden="false" locked="tru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worksheets/sheet1.xml" Type="http://schemas.openxmlformats.org/officeDocument/2006/relationships/worksheet"></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a:ea typeface=""/>
        <a:cs typeface=""/>
      </a:majorFont>
      <a:minorFont>
        <a:latin typeface="Aptos Narrow" panose="02110004020202020204" pitchFamily="0"/>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38" activeCellId="0" sqref="E38"/>
    </sheetView>
  </sheetViews>
  <sheetFormatPr defaultColWidth="8.4765625" defaultRowHeight="14.25" zeroHeight="false" outlineLevelRow="0" outlineLevelCol="0"/>
  <sheetData>
    <row r="1" customFormat="false" ht="14.25" hidden="false" customHeight="false" outlineLevel="0" collapsed="false">
      <c r="A1" s="0" t="s">
        <v>0</v>
      </c>
      <c r="B1" s="0" t="s">
        <v>1</v>
      </c>
      <c r="C1" s="0" t="s">
        <v>2</v>
      </c>
      <c r="D1" s="0" t="s">
        <v>3</v>
      </c>
      <c r="E1" s="0" t="s">
        <v>4</v>
      </c>
      <c r="F1" s="0" t="s">
        <v>5</v>
      </c>
      <c r="G1" s="0" t="s">
        <v>6</v>
      </c>
      <c r="H1" s="0" t="s">
        <v>7</v>
      </c>
      <c r="I1" s="0" t="s">
        <v>8</v>
      </c>
      <c r="J1" s="0" t="s">
        <v>9</v>
      </c>
      <c r="K1" s="0" t="s">
        <v>10</v>
      </c>
      <c r="L1" s="0" t="s">
        <v>11</v>
      </c>
    </row>
    <row r="2" customFormat="false" ht="14.25" hidden="false" customHeight="false" outlineLevel="0" collapsed="false">
      <c r="A2" s="0" t="s">
        <v>12</v>
      </c>
      <c r="B2" s="0" t="s">
        <v>13</v>
      </c>
      <c r="C2" s="0" t="s">
        <v>14</v>
      </c>
      <c r="D2" s="0" t="s">
        <v>15</v>
      </c>
      <c r="E2" s="0" t="s">
        <v>16</v>
      </c>
      <c r="F2" s="1" t="n">
        <v>45010</v>
      </c>
      <c r="G2" s="0" t="n">
        <v>240</v>
      </c>
      <c r="H2" s="0" t="n">
        <v>927</v>
      </c>
      <c r="I2" s="0" t="n">
        <v>4</v>
      </c>
      <c r="J2" s="2" t="s">
        <v>15</v>
      </c>
      <c r="K2" s="2" t="s">
        <v>17</v>
      </c>
      <c r="L2" s="3" t="b">
        <f aca="false">TRUE()</f>
        <v>1</v>
      </c>
    </row>
    <row r="3" customFormat="false" ht="14.25" hidden="false" customHeight="false" outlineLevel="0" collapsed="false">
      <c r="A3" s="0" t="s">
        <v>18</v>
      </c>
      <c r="B3" s="0" t="s">
        <v>19</v>
      </c>
      <c r="C3" s="0" t="s">
        <v>20</v>
      </c>
      <c r="D3" s="0" t="s">
        <v>21</v>
      </c>
      <c r="E3" s="0" t="s">
        <v>22</v>
      </c>
      <c r="F3" s="1" t="n">
        <v>45022</v>
      </c>
      <c r="G3" s="0" t="n">
        <v>223</v>
      </c>
      <c r="H3" s="0" t="n">
        <v>534</v>
      </c>
      <c r="I3" s="0" t="n">
        <v>5</v>
      </c>
      <c r="J3" s="2" t="s">
        <v>23</v>
      </c>
      <c r="K3" s="2" t="s">
        <v>17</v>
      </c>
      <c r="L3" s="3" t="b">
        <f aca="false">FALSE()</f>
        <v>0</v>
      </c>
    </row>
    <row r="4" customFormat="false" ht="14.25" hidden="false" customHeight="false" outlineLevel="0" collapsed="false">
      <c r="A4" s="0" t="s">
        <v>24</v>
      </c>
      <c r="B4" s="0" t="s">
        <v>25</v>
      </c>
      <c r="C4" s="0" t="s">
        <v>26</v>
      </c>
      <c r="D4" s="0" t="s">
        <v>27</v>
      </c>
      <c r="E4" s="0" t="s">
        <v>22</v>
      </c>
      <c r="F4" s="1" t="n">
        <v>45041</v>
      </c>
      <c r="G4" s="0" t="n">
        <v>214</v>
      </c>
      <c r="H4" s="0" t="n">
        <v>592</v>
      </c>
      <c r="I4" s="0" t="n">
        <v>1</v>
      </c>
      <c r="J4" s="2" t="s">
        <v>28</v>
      </c>
      <c r="K4" s="2" t="s">
        <v>17</v>
      </c>
      <c r="L4" s="3" t="b">
        <f aca="false">FALSE()</f>
        <v>0</v>
      </c>
    </row>
    <row r="5" customFormat="false" ht="14.25" hidden="false" customHeight="false" outlineLevel="0" collapsed="false">
      <c r="A5" s="0" t="s">
        <v>29</v>
      </c>
      <c r="B5" s="0" t="s">
        <v>30</v>
      </c>
      <c r="C5" s="0" t="s">
        <v>31</v>
      </c>
      <c r="D5" s="0" t="s">
        <v>32</v>
      </c>
      <c r="E5" s="0" t="s">
        <v>16</v>
      </c>
      <c r="F5" s="1" t="n">
        <v>44977</v>
      </c>
      <c r="G5" s="0" t="n">
        <v>110</v>
      </c>
      <c r="H5" s="0" t="n">
        <v>864</v>
      </c>
      <c r="I5" s="0" t="n">
        <v>2</v>
      </c>
      <c r="J5" s="2" t="s">
        <v>33</v>
      </c>
      <c r="K5" s="2" t="s">
        <v>34</v>
      </c>
      <c r="L5" s="3" t="b">
        <f aca="false">TRUE()</f>
        <v>1</v>
      </c>
    </row>
    <row r="6" customFormat="false" ht="14.25" hidden="false" customHeight="false" outlineLevel="0" collapsed="false">
      <c r="A6" s="0" t="s">
        <v>35</v>
      </c>
      <c r="B6" s="0" t="s">
        <v>36</v>
      </c>
      <c r="C6" s="0" t="s">
        <v>37</v>
      </c>
      <c r="D6" s="0" t="s">
        <v>38</v>
      </c>
      <c r="E6" s="0" t="s">
        <v>39</v>
      </c>
      <c r="F6" s="1" t="n">
        <v>44944</v>
      </c>
      <c r="G6" s="0" t="n">
        <v>151</v>
      </c>
      <c r="H6" s="0" t="n">
        <v>193</v>
      </c>
      <c r="I6" s="0" t="n">
        <v>2</v>
      </c>
      <c r="J6" s="2" t="s">
        <v>23</v>
      </c>
      <c r="K6" s="2" t="s">
        <v>17</v>
      </c>
      <c r="L6" s="3" t="b">
        <f aca="false">FALSE()</f>
        <v>0</v>
      </c>
    </row>
    <row r="7" customFormat="false" ht="14.25" hidden="false" customHeight="false" outlineLevel="0" collapsed="false">
      <c r="A7" s="0" t="s">
        <v>40</v>
      </c>
      <c r="B7" s="0" t="s">
        <v>41</v>
      </c>
      <c r="C7" s="0" t="s">
        <v>31</v>
      </c>
      <c r="D7" s="0" t="s">
        <v>42</v>
      </c>
      <c r="E7" s="0" t="s">
        <v>22</v>
      </c>
      <c r="F7" s="1" t="n">
        <v>45087</v>
      </c>
      <c r="G7" s="0" t="n">
        <v>134</v>
      </c>
      <c r="H7" s="0" t="n">
        <v>194</v>
      </c>
      <c r="I7" s="0" t="n">
        <v>2</v>
      </c>
      <c r="J7" s="2" t="s">
        <v>43</v>
      </c>
      <c r="K7" s="2" t="s">
        <v>44</v>
      </c>
      <c r="L7" s="3" t="b">
        <f aca="false">TRUE()</f>
        <v>1</v>
      </c>
    </row>
    <row r="8" customFormat="false" ht="14.25" hidden="false" customHeight="false" outlineLevel="0" collapsed="false">
      <c r="A8" s="0" t="s">
        <v>45</v>
      </c>
      <c r="B8" s="0" t="s">
        <v>46</v>
      </c>
      <c r="C8" s="0" t="s">
        <v>37</v>
      </c>
      <c r="D8" s="0" t="s">
        <v>42</v>
      </c>
      <c r="E8" s="0" t="s">
        <v>16</v>
      </c>
      <c r="F8" s="1" t="n">
        <v>44936</v>
      </c>
      <c r="G8" s="0" t="n">
        <v>64</v>
      </c>
      <c r="H8" s="0" t="n">
        <v>232</v>
      </c>
      <c r="I8" s="0" t="n">
        <v>1</v>
      </c>
      <c r="J8" s="2" t="s">
        <v>47</v>
      </c>
      <c r="K8" s="2" t="s">
        <v>48</v>
      </c>
      <c r="L8" s="3" t="b">
        <f aca="false">FALSE()</f>
        <v>0</v>
      </c>
    </row>
    <row r="9" customFormat="false" ht="14.25" hidden="false" customHeight="false" outlineLevel="0" collapsed="false">
      <c r="A9" s="0" t="s">
        <v>49</v>
      </c>
      <c r="B9" s="0" t="s">
        <v>50</v>
      </c>
      <c r="C9" s="0" t="s">
        <v>20</v>
      </c>
      <c r="D9" s="0" t="s">
        <v>27</v>
      </c>
      <c r="E9" s="0" t="s">
        <v>51</v>
      </c>
      <c r="F9" s="1" t="n">
        <v>44979</v>
      </c>
      <c r="G9" s="0" t="n">
        <v>132</v>
      </c>
      <c r="H9" s="0" t="n">
        <v>578</v>
      </c>
      <c r="I9" s="0" t="n">
        <v>5</v>
      </c>
      <c r="J9" s="2" t="s">
        <v>52</v>
      </c>
      <c r="K9" s="2" t="s">
        <v>44</v>
      </c>
      <c r="L9" s="3" t="b">
        <f aca="false">TRUE()</f>
        <v>1</v>
      </c>
    </row>
    <row r="10" customFormat="false" ht="14.25" hidden="false" customHeight="false" outlineLevel="0" collapsed="false">
      <c r="A10" s="0" t="s">
        <v>53</v>
      </c>
      <c r="B10" s="0" t="s">
        <v>54</v>
      </c>
      <c r="C10" s="0" t="s">
        <v>14</v>
      </c>
      <c r="D10" s="0" t="s">
        <v>42</v>
      </c>
      <c r="E10" s="0" t="s">
        <v>16</v>
      </c>
      <c r="F10" s="1" t="n">
        <v>45100</v>
      </c>
      <c r="G10" s="0" t="n">
        <v>57</v>
      </c>
      <c r="H10" s="0" t="n">
        <v>46</v>
      </c>
      <c r="I10" s="0" t="n">
        <v>4</v>
      </c>
      <c r="J10" s="2" t="s">
        <v>43</v>
      </c>
      <c r="K10" s="2" t="s">
        <v>17</v>
      </c>
      <c r="L10" s="3" t="b">
        <f aca="false">FALSE()</f>
        <v>0</v>
      </c>
    </row>
    <row r="11" customFormat="false" ht="14.25" hidden="false" customHeight="false" outlineLevel="0" collapsed="false">
      <c r="A11" s="0" t="s">
        <v>55</v>
      </c>
      <c r="B11" s="0" t="s">
        <v>56</v>
      </c>
      <c r="C11" s="0" t="s">
        <v>37</v>
      </c>
      <c r="D11" s="0" t="s">
        <v>52</v>
      </c>
      <c r="E11" s="0" t="s">
        <v>51</v>
      </c>
      <c r="F11" s="1" t="n">
        <v>45013</v>
      </c>
      <c r="G11" s="0" t="n">
        <v>223</v>
      </c>
      <c r="H11" s="0" t="n">
        <v>1230</v>
      </c>
      <c r="I11" s="0" t="n">
        <v>3</v>
      </c>
      <c r="J11" s="2" t="s">
        <v>57</v>
      </c>
      <c r="K11" s="2" t="s">
        <v>44</v>
      </c>
      <c r="L11" s="3" t="b">
        <f aca="false">TRUE()</f>
        <v>1</v>
      </c>
    </row>
    <row r="12" customFormat="false" ht="14.25" hidden="false" customHeight="false" outlineLevel="0" collapsed="false">
      <c r="A12" s="0" t="s">
        <v>58</v>
      </c>
      <c r="B12" s="0" t="s">
        <v>59</v>
      </c>
      <c r="C12" s="0" t="s">
        <v>26</v>
      </c>
      <c r="D12" s="0" t="s">
        <v>32</v>
      </c>
      <c r="E12" s="0" t="s">
        <v>16</v>
      </c>
      <c r="F12" s="1" t="n">
        <v>44997</v>
      </c>
      <c r="G12" s="0" t="n">
        <v>192</v>
      </c>
      <c r="H12" s="0" t="n">
        <v>1284</v>
      </c>
      <c r="I12" s="0" t="n">
        <v>2</v>
      </c>
      <c r="J12" s="2" t="s">
        <v>60</v>
      </c>
      <c r="K12" s="2" t="s">
        <v>48</v>
      </c>
      <c r="L12" s="3" t="b">
        <f aca="false">FALSE()</f>
        <v>0</v>
      </c>
    </row>
    <row r="13" customFormat="false" ht="14.25" hidden="false" customHeight="false" outlineLevel="0" collapsed="false">
      <c r="A13" s="0" t="s">
        <v>61</v>
      </c>
      <c r="B13" s="0" t="s">
        <v>62</v>
      </c>
      <c r="C13" s="0" t="s">
        <v>63</v>
      </c>
      <c r="D13" s="0" t="s">
        <v>21</v>
      </c>
      <c r="E13" s="0" t="s">
        <v>22</v>
      </c>
      <c r="F13" s="1" t="n">
        <v>45053</v>
      </c>
      <c r="G13" s="0" t="n">
        <v>35</v>
      </c>
      <c r="H13" s="0" t="n">
        <v>757</v>
      </c>
      <c r="I13" s="0" t="n">
        <v>4</v>
      </c>
      <c r="J13" s="2" t="s">
        <v>60</v>
      </c>
      <c r="K13" s="2" t="s">
        <v>34</v>
      </c>
      <c r="L13" s="3" t="b">
        <f aca="false">TRUE()</f>
        <v>1</v>
      </c>
    </row>
    <row r="14" customFormat="false" ht="14.25" hidden="false" customHeight="false" outlineLevel="0" collapsed="false">
      <c r="A14" s="0" t="s">
        <v>64</v>
      </c>
      <c r="B14" s="0" t="s">
        <v>65</v>
      </c>
      <c r="C14" s="0" t="s">
        <v>63</v>
      </c>
      <c r="D14" s="0" t="s">
        <v>60</v>
      </c>
      <c r="E14" s="0" t="s">
        <v>51</v>
      </c>
      <c r="F14" s="1" t="n">
        <v>44978</v>
      </c>
      <c r="G14" s="0" t="n">
        <v>121</v>
      </c>
      <c r="H14" s="0" t="n">
        <v>738</v>
      </c>
      <c r="I14" s="0" t="n">
        <v>4</v>
      </c>
      <c r="J14" s="2" t="s">
        <v>42</v>
      </c>
      <c r="K14" s="2" t="s">
        <v>34</v>
      </c>
      <c r="L14" s="3" t="b">
        <f aca="false">FALSE()</f>
        <v>0</v>
      </c>
    </row>
    <row r="15" customFormat="false" ht="14.25" hidden="false" customHeight="false" outlineLevel="0" collapsed="false">
      <c r="A15" s="0" t="s">
        <v>66</v>
      </c>
      <c r="B15" s="0" t="s">
        <v>67</v>
      </c>
      <c r="C15" s="0" t="s">
        <v>20</v>
      </c>
      <c r="D15" s="0" t="s">
        <v>68</v>
      </c>
      <c r="E15" s="0" t="s">
        <v>22</v>
      </c>
      <c r="F15" s="1" t="n">
        <v>45020</v>
      </c>
      <c r="G15" s="0" t="n">
        <v>129</v>
      </c>
      <c r="H15" s="0" t="n">
        <v>999</v>
      </c>
      <c r="I15" s="0" t="n">
        <v>5</v>
      </c>
      <c r="J15" s="2" t="s">
        <v>69</v>
      </c>
      <c r="K15" s="2" t="s">
        <v>34</v>
      </c>
      <c r="L15" s="3" t="b">
        <f aca="false">FALSE()</f>
        <v>0</v>
      </c>
    </row>
    <row r="16" customFormat="false" ht="14.25" hidden="false" customHeight="false" outlineLevel="0" collapsed="false">
      <c r="A16" s="0" t="s">
        <v>70</v>
      </c>
      <c r="B16" s="0" t="s">
        <v>71</v>
      </c>
      <c r="C16" s="0" t="s">
        <v>31</v>
      </c>
      <c r="D16" s="0" t="s">
        <v>72</v>
      </c>
      <c r="E16" s="0" t="s">
        <v>16</v>
      </c>
      <c r="F16" s="1" t="n">
        <v>45085</v>
      </c>
      <c r="G16" s="0" t="n">
        <v>33</v>
      </c>
      <c r="H16" s="0" t="n">
        <v>657</v>
      </c>
      <c r="I16" s="0" t="n">
        <v>4</v>
      </c>
      <c r="J16" s="2" t="s">
        <v>43</v>
      </c>
      <c r="K16" s="2" t="s">
        <v>34</v>
      </c>
      <c r="L16" s="3" t="b">
        <f aca="false">TRUE()</f>
        <v>1</v>
      </c>
    </row>
    <row r="17" customFormat="false" ht="14.25" hidden="false" customHeight="false" outlineLevel="0" collapsed="false">
      <c r="A17" s="0" t="s">
        <v>73</v>
      </c>
      <c r="B17" s="0" t="s">
        <v>74</v>
      </c>
      <c r="C17" s="0" t="s">
        <v>63</v>
      </c>
      <c r="D17" s="0" t="s">
        <v>68</v>
      </c>
      <c r="E17" s="0" t="s">
        <v>16</v>
      </c>
      <c r="F17" s="1" t="n">
        <v>45072</v>
      </c>
      <c r="G17" s="0" t="n">
        <v>213</v>
      </c>
      <c r="H17" s="0" t="n">
        <v>361</v>
      </c>
      <c r="I17" s="0" t="n">
        <v>1</v>
      </c>
      <c r="J17" s="2" t="s">
        <v>43</v>
      </c>
      <c r="K17" s="2" t="s">
        <v>48</v>
      </c>
      <c r="L17" s="3" t="b">
        <f aca="false">FALSE()</f>
        <v>0</v>
      </c>
    </row>
    <row r="18" customFormat="false" ht="14.25" hidden="false" customHeight="false" outlineLevel="0" collapsed="false">
      <c r="A18" s="0" t="s">
        <v>75</v>
      </c>
      <c r="B18" s="0" t="s">
        <v>76</v>
      </c>
      <c r="C18" s="0" t="s">
        <v>14</v>
      </c>
      <c r="D18" s="0" t="s">
        <v>15</v>
      </c>
      <c r="E18" s="0" t="s">
        <v>51</v>
      </c>
      <c r="F18" s="1" t="n">
        <v>44991</v>
      </c>
      <c r="G18" s="0" t="n">
        <v>178</v>
      </c>
      <c r="H18" s="0" t="n">
        <v>652</v>
      </c>
      <c r="I18" s="0" t="n">
        <v>4</v>
      </c>
      <c r="J18" s="2" t="s">
        <v>43</v>
      </c>
      <c r="K18" s="2" t="s">
        <v>17</v>
      </c>
      <c r="L18" s="3" t="b">
        <f aca="false">TRUE()</f>
        <v>1</v>
      </c>
    </row>
    <row r="19" customFormat="false" ht="14.25" hidden="false" customHeight="false" outlineLevel="0" collapsed="false">
      <c r="A19" s="0" t="s">
        <v>77</v>
      </c>
      <c r="B19" s="0" t="s">
        <v>78</v>
      </c>
      <c r="C19" s="0" t="s">
        <v>79</v>
      </c>
      <c r="D19" s="0" t="s">
        <v>80</v>
      </c>
      <c r="E19" s="0" t="s">
        <v>39</v>
      </c>
      <c r="F19" s="1" t="n">
        <v>45099</v>
      </c>
      <c r="G19" s="0" t="n">
        <v>109</v>
      </c>
      <c r="H19" s="0" t="n">
        <v>278</v>
      </c>
      <c r="I19" s="0" t="n">
        <v>4</v>
      </c>
      <c r="J19" s="2" t="s">
        <v>21</v>
      </c>
      <c r="K19" s="2" t="s">
        <v>17</v>
      </c>
      <c r="L19" s="3" t="b">
        <f aca="false">TRUE()</f>
        <v>1</v>
      </c>
    </row>
    <row r="20" customFormat="false" ht="14.25" hidden="false" customHeight="false" outlineLevel="0" collapsed="false">
      <c r="A20" s="0" t="s">
        <v>81</v>
      </c>
      <c r="B20" s="0" t="s">
        <v>82</v>
      </c>
      <c r="C20" s="0" t="s">
        <v>37</v>
      </c>
      <c r="D20" s="0" t="s">
        <v>42</v>
      </c>
      <c r="E20" s="0" t="s">
        <v>16</v>
      </c>
      <c r="F20" s="1" t="n">
        <v>45019</v>
      </c>
      <c r="G20" s="0" t="n">
        <v>51</v>
      </c>
      <c r="H20" s="0" t="n">
        <v>293</v>
      </c>
      <c r="I20" s="0" t="n">
        <v>3</v>
      </c>
      <c r="J20" s="2" t="s">
        <v>68</v>
      </c>
      <c r="K20" s="2" t="s">
        <v>83</v>
      </c>
      <c r="L20" s="3" t="b">
        <f aca="false">TRUE()</f>
        <v>1</v>
      </c>
    </row>
    <row r="21" customFormat="false" ht="14.25" hidden="false" customHeight="false" outlineLevel="0" collapsed="false">
      <c r="A21" s="0" t="s">
        <v>84</v>
      </c>
      <c r="B21" s="0" t="s">
        <v>85</v>
      </c>
      <c r="C21" s="0" t="s">
        <v>31</v>
      </c>
      <c r="D21" s="0" t="s">
        <v>32</v>
      </c>
      <c r="E21" s="0" t="s">
        <v>39</v>
      </c>
      <c r="F21" s="1" t="n">
        <v>44998</v>
      </c>
      <c r="G21" s="0" t="n">
        <v>55</v>
      </c>
      <c r="H21" s="0" t="n">
        <v>685</v>
      </c>
      <c r="I21" s="0" t="n">
        <v>1</v>
      </c>
      <c r="J21" s="2" t="s">
        <v>86</v>
      </c>
      <c r="K21" s="2" t="s">
        <v>44</v>
      </c>
      <c r="L21" s="3" t="b">
        <f aca="false">TRUE()</f>
        <v>1</v>
      </c>
    </row>
    <row r="22" customFormat="false" ht="14.25" hidden="false" customHeight="false" outlineLevel="0" collapsed="false">
      <c r="A22" s="0" t="s">
        <v>87</v>
      </c>
      <c r="B22" s="0" t="s">
        <v>88</v>
      </c>
      <c r="C22" s="0" t="s">
        <v>14</v>
      </c>
      <c r="D22" s="0" t="s">
        <v>42</v>
      </c>
      <c r="E22" s="0" t="s">
        <v>39</v>
      </c>
      <c r="F22" s="1" t="n">
        <v>44994</v>
      </c>
      <c r="G22" s="0" t="n">
        <v>145</v>
      </c>
      <c r="H22" s="0" t="n">
        <v>638</v>
      </c>
      <c r="I22" s="0" t="n">
        <v>5</v>
      </c>
      <c r="J22" s="2" t="s">
        <v>33</v>
      </c>
      <c r="K22" s="2" t="s">
        <v>17</v>
      </c>
      <c r="L22" s="3" t="b">
        <f aca="false">FALSE()</f>
        <v>0</v>
      </c>
    </row>
    <row r="23" customFormat="false" ht="14.25" hidden="false" customHeight="false" outlineLevel="0" collapsed="false">
      <c r="A23" s="0" t="s">
        <v>89</v>
      </c>
      <c r="B23" s="0" t="s">
        <v>90</v>
      </c>
      <c r="C23" s="0" t="s">
        <v>26</v>
      </c>
      <c r="D23" s="0" t="s">
        <v>23</v>
      </c>
      <c r="E23" s="0" t="s">
        <v>16</v>
      </c>
      <c r="F23" s="1" t="n">
        <v>44957</v>
      </c>
      <c r="G23" s="0" t="n">
        <v>112</v>
      </c>
      <c r="H23" s="0" t="n">
        <v>185</v>
      </c>
      <c r="I23" s="0" t="n">
        <v>2</v>
      </c>
      <c r="J23" s="2" t="s">
        <v>80</v>
      </c>
      <c r="K23" s="2" t="s">
        <v>48</v>
      </c>
      <c r="L23" s="3" t="b">
        <f aca="false">TRUE()</f>
        <v>1</v>
      </c>
    </row>
    <row r="24" customFormat="false" ht="14.25" hidden="false" customHeight="false" outlineLevel="0" collapsed="false">
      <c r="A24" s="0" t="s">
        <v>91</v>
      </c>
      <c r="B24" s="0" t="s">
        <v>92</v>
      </c>
      <c r="C24" s="0" t="s">
        <v>31</v>
      </c>
      <c r="D24" s="0" t="s">
        <v>72</v>
      </c>
      <c r="E24" s="0" t="s">
        <v>39</v>
      </c>
      <c r="F24" s="1" t="n">
        <v>45061</v>
      </c>
      <c r="G24" s="0" t="n">
        <v>149</v>
      </c>
      <c r="H24" s="0" t="n">
        <v>234</v>
      </c>
      <c r="I24" s="0" t="n">
        <v>2</v>
      </c>
      <c r="J24" s="2" t="s">
        <v>80</v>
      </c>
      <c r="K24" s="2" t="s">
        <v>83</v>
      </c>
      <c r="L24" s="3" t="b">
        <f aca="false">FALSE()</f>
        <v>0</v>
      </c>
    </row>
    <row r="25" customFormat="false" ht="14.25" hidden="false" customHeight="false" outlineLevel="0" collapsed="false">
      <c r="A25" s="0" t="s">
        <v>93</v>
      </c>
      <c r="B25" s="0" t="s">
        <v>94</v>
      </c>
      <c r="C25" s="0" t="s">
        <v>31</v>
      </c>
      <c r="D25" s="0" t="s">
        <v>86</v>
      </c>
      <c r="E25" s="0" t="s">
        <v>16</v>
      </c>
      <c r="F25" s="1" t="n">
        <v>45048</v>
      </c>
      <c r="G25" s="0" t="n">
        <v>142</v>
      </c>
      <c r="H25" s="0" t="n">
        <v>932</v>
      </c>
      <c r="I25" s="0" t="n">
        <v>1</v>
      </c>
      <c r="J25" s="2" t="s">
        <v>47</v>
      </c>
      <c r="K25" s="2" t="s">
        <v>34</v>
      </c>
      <c r="L25" s="3" t="b">
        <f aca="false">TRUE()</f>
        <v>1</v>
      </c>
    </row>
    <row r="26" customFormat="false" ht="14.25" hidden="false" customHeight="false" outlineLevel="0" collapsed="false">
      <c r="A26" s="0" t="s">
        <v>95</v>
      </c>
      <c r="B26" s="0" t="s">
        <v>96</v>
      </c>
      <c r="C26" s="0" t="s">
        <v>79</v>
      </c>
      <c r="D26" s="0" t="s">
        <v>57</v>
      </c>
      <c r="E26" s="0" t="s">
        <v>16</v>
      </c>
      <c r="F26" s="1" t="n">
        <v>45083</v>
      </c>
      <c r="G26" s="0" t="n">
        <v>69</v>
      </c>
      <c r="H26" s="0" t="n">
        <v>347</v>
      </c>
      <c r="I26" s="0" t="n">
        <v>3</v>
      </c>
      <c r="J26" s="2" t="s">
        <v>43</v>
      </c>
      <c r="K26" s="2" t="s">
        <v>48</v>
      </c>
      <c r="L26" s="3" t="b">
        <f aca="false">TRUE()</f>
        <v>1</v>
      </c>
    </row>
    <row r="27" customFormat="false" ht="14.25" hidden="false" customHeight="false" outlineLevel="0" collapsed="false">
      <c r="A27" s="0" t="s">
        <v>97</v>
      </c>
      <c r="B27" s="0" t="s">
        <v>98</v>
      </c>
      <c r="C27" s="0" t="s">
        <v>20</v>
      </c>
      <c r="D27" s="0" t="s">
        <v>32</v>
      </c>
      <c r="E27" s="0" t="s">
        <v>22</v>
      </c>
      <c r="F27" s="1" t="n">
        <v>45079</v>
      </c>
      <c r="G27" s="0" t="n">
        <v>188</v>
      </c>
      <c r="H27" s="0" t="n">
        <v>865</v>
      </c>
      <c r="I27" s="0" t="n">
        <v>3</v>
      </c>
      <c r="J27" s="2" t="s">
        <v>38</v>
      </c>
      <c r="K27" s="2" t="s">
        <v>17</v>
      </c>
      <c r="L27" s="3" t="b">
        <f aca="false">FALSE()</f>
        <v>0</v>
      </c>
    </row>
    <row r="28" customFormat="false" ht="14.25" hidden="false" customHeight="false" outlineLevel="0" collapsed="false">
      <c r="A28" s="0" t="s">
        <v>99</v>
      </c>
      <c r="B28" s="0" t="s">
        <v>100</v>
      </c>
      <c r="C28" s="0" t="s">
        <v>79</v>
      </c>
      <c r="D28" s="0" t="s">
        <v>80</v>
      </c>
      <c r="E28" s="0" t="s">
        <v>22</v>
      </c>
      <c r="F28" s="1" t="n">
        <v>44993</v>
      </c>
      <c r="G28" s="0" t="n">
        <v>172</v>
      </c>
      <c r="H28" s="0" t="n">
        <v>1179</v>
      </c>
      <c r="I28" s="0" t="n">
        <v>5</v>
      </c>
      <c r="J28" s="2" t="s">
        <v>69</v>
      </c>
      <c r="K28" s="2" t="s">
        <v>17</v>
      </c>
      <c r="L28" s="3" t="b">
        <f aca="false">FALSE()</f>
        <v>0</v>
      </c>
    </row>
    <row r="29" customFormat="false" ht="14.25" hidden="false" customHeight="false" outlineLevel="0" collapsed="false">
      <c r="A29" s="0" t="s">
        <v>101</v>
      </c>
      <c r="B29" s="0" t="s">
        <v>102</v>
      </c>
      <c r="C29" s="0" t="s">
        <v>79</v>
      </c>
      <c r="D29" s="0" t="s">
        <v>103</v>
      </c>
      <c r="E29" s="0" t="s">
        <v>22</v>
      </c>
      <c r="F29" s="1" t="n">
        <v>44944</v>
      </c>
      <c r="G29" s="0" t="n">
        <v>142</v>
      </c>
      <c r="H29" s="0" t="n">
        <v>1055</v>
      </c>
      <c r="I29" s="0" t="n">
        <v>4</v>
      </c>
      <c r="J29" s="2" t="s">
        <v>21</v>
      </c>
      <c r="K29" s="2" t="s">
        <v>44</v>
      </c>
      <c r="L29" s="3" t="b">
        <f aca="false">TRUE()</f>
        <v>1</v>
      </c>
    </row>
    <row r="30" customFormat="false" ht="14.25" hidden="false" customHeight="false" outlineLevel="0" collapsed="false">
      <c r="A30" s="0" t="s">
        <v>104</v>
      </c>
      <c r="B30" s="0" t="s">
        <v>105</v>
      </c>
      <c r="C30" s="0" t="s">
        <v>20</v>
      </c>
      <c r="D30" s="0" t="s">
        <v>42</v>
      </c>
      <c r="E30" s="0" t="s">
        <v>51</v>
      </c>
      <c r="F30" s="1" t="n">
        <v>45074</v>
      </c>
      <c r="G30" s="0" t="n">
        <v>208</v>
      </c>
      <c r="H30" s="0" t="n">
        <v>719</v>
      </c>
      <c r="I30" s="0" t="n">
        <v>4</v>
      </c>
      <c r="J30" s="2" t="s">
        <v>23</v>
      </c>
      <c r="K30" s="2" t="s">
        <v>17</v>
      </c>
      <c r="L30" s="3" t="b">
        <f aca="false">TRUE()</f>
        <v>1</v>
      </c>
    </row>
    <row r="31" customFormat="false" ht="14.25" hidden="false" customHeight="false" outlineLevel="0" collapsed="false">
      <c r="A31" s="0" t="s">
        <v>106</v>
      </c>
      <c r="B31" s="0" t="s">
        <v>107</v>
      </c>
      <c r="C31" s="0" t="s">
        <v>63</v>
      </c>
      <c r="D31" s="0" t="s">
        <v>60</v>
      </c>
      <c r="E31" s="0" t="s">
        <v>39</v>
      </c>
      <c r="F31" s="1" t="n">
        <v>45071</v>
      </c>
      <c r="G31" s="0" t="n">
        <v>15</v>
      </c>
      <c r="H31" s="0" t="n">
        <v>556</v>
      </c>
      <c r="I31" s="0" t="n">
        <v>1</v>
      </c>
      <c r="J31" s="2" t="s">
        <v>43</v>
      </c>
      <c r="K31" s="2" t="s">
        <v>17</v>
      </c>
      <c r="L31" s="3" t="b">
        <f aca="false">FALSE()</f>
        <v>0</v>
      </c>
    </row>
    <row r="32" customFormat="false" ht="14.25" hidden="false" customHeight="false" outlineLevel="0" collapsed="false">
      <c r="A32" s="0" t="s">
        <v>108</v>
      </c>
      <c r="B32" s="0" t="s">
        <v>109</v>
      </c>
      <c r="C32" s="0" t="s">
        <v>63</v>
      </c>
      <c r="D32" s="0" t="s">
        <v>80</v>
      </c>
      <c r="E32" s="0" t="s">
        <v>16</v>
      </c>
      <c r="F32" s="1" t="n">
        <v>45090</v>
      </c>
      <c r="G32" s="0" t="n">
        <v>105</v>
      </c>
      <c r="H32" s="0" t="n">
        <v>814</v>
      </c>
      <c r="I32" s="0" t="n">
        <v>1</v>
      </c>
      <c r="J32" s="2" t="s">
        <v>52</v>
      </c>
      <c r="K32" s="2" t="s">
        <v>83</v>
      </c>
      <c r="L32" s="3" t="b">
        <f aca="false">FALSE()</f>
        <v>0</v>
      </c>
    </row>
    <row r="33" customFormat="false" ht="14.25" hidden="false" customHeight="false" outlineLevel="0" collapsed="false">
      <c r="A33" s="0" t="s">
        <v>110</v>
      </c>
      <c r="B33" s="0" t="s">
        <v>111</v>
      </c>
      <c r="C33" s="0" t="s">
        <v>37</v>
      </c>
      <c r="D33" s="0" t="s">
        <v>86</v>
      </c>
      <c r="E33" s="0" t="s">
        <v>16</v>
      </c>
      <c r="F33" s="1" t="n">
        <v>44944</v>
      </c>
      <c r="G33" s="0" t="n">
        <v>43</v>
      </c>
      <c r="H33" s="0" t="n">
        <v>105</v>
      </c>
      <c r="I33" s="0" t="n">
        <v>2</v>
      </c>
      <c r="J33" s="2" t="s">
        <v>42</v>
      </c>
      <c r="K33" s="2" t="s">
        <v>34</v>
      </c>
      <c r="L33" s="3" t="b">
        <f aca="false">FALSE()</f>
        <v>0</v>
      </c>
    </row>
    <row r="34" customFormat="false" ht="14.25" hidden="false" customHeight="false" outlineLevel="0" collapsed="false">
      <c r="A34" s="0" t="s">
        <v>112</v>
      </c>
      <c r="B34" s="0" t="s">
        <v>113</v>
      </c>
      <c r="C34" s="0" t="s">
        <v>63</v>
      </c>
      <c r="D34" s="0" t="s">
        <v>43</v>
      </c>
      <c r="E34" s="0" t="s">
        <v>22</v>
      </c>
      <c r="F34" s="1" t="n">
        <v>45049</v>
      </c>
      <c r="G34" s="0" t="n">
        <v>170</v>
      </c>
      <c r="H34" s="0" t="n">
        <v>1189</v>
      </c>
      <c r="I34" s="0" t="n">
        <v>3</v>
      </c>
      <c r="J34" s="2" t="s">
        <v>42</v>
      </c>
      <c r="K34" s="2" t="s">
        <v>34</v>
      </c>
      <c r="L34" s="3" t="b">
        <f aca="false">TRUE()</f>
        <v>1</v>
      </c>
    </row>
    <row r="35" customFormat="false" ht="14.25" hidden="false" customHeight="false" outlineLevel="0" collapsed="false">
      <c r="A35" s="0" t="s">
        <v>114</v>
      </c>
      <c r="B35" s="0" t="s">
        <v>115</v>
      </c>
      <c r="C35" s="0" t="s">
        <v>31</v>
      </c>
      <c r="D35" s="0" t="s">
        <v>33</v>
      </c>
      <c r="E35" s="0" t="s">
        <v>22</v>
      </c>
      <c r="F35" s="1" t="n">
        <v>45094</v>
      </c>
      <c r="G35" s="0" t="n">
        <v>77</v>
      </c>
      <c r="H35" s="0" t="n">
        <v>650</v>
      </c>
      <c r="I35" s="0" t="n">
        <v>3</v>
      </c>
      <c r="J35" s="2" t="s">
        <v>68</v>
      </c>
      <c r="K35" s="2" t="s">
        <v>34</v>
      </c>
      <c r="L35" s="3" t="b">
        <f aca="false">FALSE()</f>
        <v>0</v>
      </c>
    </row>
    <row r="36" customFormat="false" ht="14.25" hidden="false" customHeight="false" outlineLevel="0" collapsed="false">
      <c r="A36" s="0" t="s">
        <v>116</v>
      </c>
      <c r="B36" s="0" t="s">
        <v>117</v>
      </c>
      <c r="C36" s="0" t="s">
        <v>63</v>
      </c>
      <c r="D36" s="0" t="s">
        <v>47</v>
      </c>
      <c r="E36" s="0" t="s">
        <v>51</v>
      </c>
      <c r="F36" s="1" t="n">
        <v>45061</v>
      </c>
      <c r="G36" s="0" t="n">
        <v>235</v>
      </c>
      <c r="H36" s="0" t="n">
        <v>717</v>
      </c>
      <c r="I36" s="0" t="n">
        <v>2</v>
      </c>
      <c r="J36" s="2" t="s">
        <v>38</v>
      </c>
      <c r="K36" s="2" t="s">
        <v>44</v>
      </c>
      <c r="L36" s="3" t="b">
        <f aca="false">TRUE()</f>
        <v>1</v>
      </c>
    </row>
    <row r="37" customFormat="false" ht="14.25" hidden="false" customHeight="false" outlineLevel="0" collapsed="false">
      <c r="A37" s="0" t="s">
        <v>118</v>
      </c>
      <c r="B37" s="0" t="s">
        <v>119</v>
      </c>
      <c r="C37" s="0" t="s">
        <v>63</v>
      </c>
      <c r="D37" s="0" t="s">
        <v>27</v>
      </c>
      <c r="E37" s="0" t="s">
        <v>16</v>
      </c>
      <c r="F37" s="1" t="n">
        <v>44989</v>
      </c>
      <c r="G37" s="0" t="n">
        <v>36</v>
      </c>
      <c r="H37" s="0" t="n">
        <v>123</v>
      </c>
      <c r="I37" s="0" t="n">
        <v>1</v>
      </c>
      <c r="J37" s="2" t="s">
        <v>32</v>
      </c>
      <c r="K37" s="2" t="s">
        <v>17</v>
      </c>
      <c r="L37" s="3" t="b">
        <f aca="false">FALSE()</f>
        <v>0</v>
      </c>
    </row>
    <row r="38" customFormat="false" ht="14.25" hidden="false" customHeight="false" outlineLevel="0" collapsed="false">
      <c r="A38" s="0" t="s">
        <v>120</v>
      </c>
      <c r="B38" s="0" t="s">
        <v>121</v>
      </c>
      <c r="C38" s="0" t="s">
        <v>26</v>
      </c>
      <c r="D38" s="0" t="s">
        <v>27</v>
      </c>
      <c r="E38" s="0" t="s">
        <v>39</v>
      </c>
      <c r="F38" s="1" t="n">
        <v>45001</v>
      </c>
      <c r="G38" s="0" t="n">
        <v>76</v>
      </c>
      <c r="H38" s="0" t="n">
        <v>1363</v>
      </c>
      <c r="I38" s="0" t="n">
        <v>4</v>
      </c>
      <c r="J38" s="2" t="s">
        <v>23</v>
      </c>
      <c r="K38" s="2" t="s">
        <v>44</v>
      </c>
      <c r="L38" s="3" t="b">
        <f aca="false">FALSE()</f>
        <v>0</v>
      </c>
    </row>
    <row r="39" customFormat="false" ht="14.25" hidden="false" customHeight="false" outlineLevel="0" collapsed="false">
      <c r="A39" s="0" t="s">
        <v>122</v>
      </c>
      <c r="B39" s="0" t="s">
        <v>123</v>
      </c>
      <c r="C39" s="0" t="s">
        <v>20</v>
      </c>
      <c r="D39" s="0" t="s">
        <v>28</v>
      </c>
      <c r="E39" s="0" t="s">
        <v>16</v>
      </c>
      <c r="F39" s="1" t="n">
        <v>45023</v>
      </c>
      <c r="G39" s="0" t="n">
        <v>62</v>
      </c>
      <c r="H39" s="0" t="n">
        <v>948</v>
      </c>
      <c r="I39" s="0" t="n">
        <v>4</v>
      </c>
      <c r="J39" s="2" t="s">
        <v>33</v>
      </c>
      <c r="K39" s="2" t="s">
        <v>83</v>
      </c>
      <c r="L39" s="3" t="b">
        <f aca="false">TRUE()</f>
        <v>1</v>
      </c>
    </row>
    <row r="40" customFormat="false" ht="14.25" hidden="false" customHeight="false" outlineLevel="0" collapsed="false">
      <c r="A40" s="0" t="s">
        <v>124</v>
      </c>
      <c r="B40" s="0" t="s">
        <v>125</v>
      </c>
      <c r="C40" s="0" t="s">
        <v>31</v>
      </c>
      <c r="D40" s="0" t="s">
        <v>68</v>
      </c>
      <c r="E40" s="0" t="s">
        <v>22</v>
      </c>
      <c r="F40" s="1" t="n">
        <v>45077</v>
      </c>
      <c r="G40" s="0" t="n">
        <v>132</v>
      </c>
      <c r="H40" s="0" t="n">
        <v>1020</v>
      </c>
      <c r="I40" s="0" t="n">
        <v>4</v>
      </c>
      <c r="J40" s="2" t="s">
        <v>60</v>
      </c>
      <c r="K40" s="2" t="s">
        <v>83</v>
      </c>
      <c r="L40" s="3" t="b">
        <f aca="false">FALSE()</f>
        <v>0</v>
      </c>
    </row>
    <row r="41" customFormat="false" ht="14.25" hidden="false" customHeight="false" outlineLevel="0" collapsed="false">
      <c r="A41" s="0" t="s">
        <v>126</v>
      </c>
      <c r="B41" s="0" t="s">
        <v>127</v>
      </c>
      <c r="C41" s="0" t="s">
        <v>63</v>
      </c>
      <c r="D41" s="0" t="s">
        <v>32</v>
      </c>
      <c r="E41" s="0" t="s">
        <v>39</v>
      </c>
      <c r="F41" s="1" t="n">
        <v>45028</v>
      </c>
      <c r="G41" s="0" t="n">
        <v>199</v>
      </c>
      <c r="H41" s="0" t="n">
        <v>1165</v>
      </c>
      <c r="I41" s="0" t="n">
        <v>2</v>
      </c>
      <c r="J41" s="2" t="s">
        <v>72</v>
      </c>
      <c r="K41" s="2" t="s">
        <v>83</v>
      </c>
      <c r="L41" s="3" t="b">
        <f aca="false">FALSE()</f>
        <v>0</v>
      </c>
    </row>
    <row r="42" customFormat="false" ht="14.25" hidden="false" customHeight="false" outlineLevel="0" collapsed="false">
      <c r="A42" s="0" t="s">
        <v>128</v>
      </c>
      <c r="B42" s="0" t="s">
        <v>129</v>
      </c>
      <c r="C42" s="0" t="s">
        <v>37</v>
      </c>
      <c r="D42" s="0" t="s">
        <v>52</v>
      </c>
      <c r="E42" s="0" t="s">
        <v>16</v>
      </c>
      <c r="F42" s="1" t="n">
        <v>44970</v>
      </c>
      <c r="G42" s="0" t="n">
        <v>131</v>
      </c>
      <c r="H42" s="0" t="n">
        <v>944</v>
      </c>
      <c r="I42" s="0" t="n">
        <v>2</v>
      </c>
      <c r="J42" s="2" t="s">
        <v>15</v>
      </c>
      <c r="K42" s="2" t="s">
        <v>44</v>
      </c>
      <c r="L42" s="3" t="b">
        <f aca="false">FALSE()</f>
        <v>0</v>
      </c>
    </row>
    <row r="43" customFormat="false" ht="14.25" hidden="false" customHeight="false" outlineLevel="0" collapsed="false">
      <c r="A43" s="0" t="s">
        <v>130</v>
      </c>
      <c r="B43" s="0" t="s">
        <v>131</v>
      </c>
      <c r="C43" s="0" t="s">
        <v>63</v>
      </c>
      <c r="D43" s="0" t="s">
        <v>23</v>
      </c>
      <c r="E43" s="0" t="s">
        <v>16</v>
      </c>
      <c r="F43" s="1" t="n">
        <v>44978</v>
      </c>
      <c r="G43" s="0" t="n">
        <v>93</v>
      </c>
      <c r="H43" s="0" t="n">
        <v>597</v>
      </c>
      <c r="I43" s="0" t="n">
        <v>2</v>
      </c>
      <c r="J43" s="2" t="s">
        <v>33</v>
      </c>
      <c r="K43" s="2" t="s">
        <v>17</v>
      </c>
      <c r="L43" s="3" t="b">
        <f aca="false">TRUE()</f>
        <v>1</v>
      </c>
    </row>
    <row r="44" customFormat="false" ht="14.25" hidden="false" customHeight="false" outlineLevel="0" collapsed="false">
      <c r="A44" s="0" t="s">
        <v>132</v>
      </c>
      <c r="B44" s="0" t="s">
        <v>133</v>
      </c>
      <c r="C44" s="0" t="s">
        <v>79</v>
      </c>
      <c r="D44" s="0" t="s">
        <v>60</v>
      </c>
      <c r="E44" s="0" t="s">
        <v>51</v>
      </c>
      <c r="F44" s="1" t="n">
        <v>45108</v>
      </c>
      <c r="G44" s="0" t="n">
        <v>186</v>
      </c>
      <c r="H44" s="0" t="n">
        <v>347</v>
      </c>
      <c r="I44" s="0" t="n">
        <v>3</v>
      </c>
      <c r="J44" s="2" t="s">
        <v>57</v>
      </c>
      <c r="K44" s="2" t="s">
        <v>44</v>
      </c>
      <c r="L44" s="3" t="b">
        <f aca="false">FALSE()</f>
        <v>0</v>
      </c>
    </row>
    <row r="45" customFormat="false" ht="14.25" hidden="false" customHeight="false" outlineLevel="0" collapsed="false">
      <c r="A45" s="0" t="s">
        <v>134</v>
      </c>
      <c r="B45" s="0" t="s">
        <v>135</v>
      </c>
      <c r="C45" s="0" t="s">
        <v>79</v>
      </c>
      <c r="D45" s="0" t="s">
        <v>60</v>
      </c>
      <c r="E45" s="0" t="s">
        <v>39</v>
      </c>
      <c r="F45" s="1" t="n">
        <v>45002</v>
      </c>
      <c r="G45" s="0" t="n">
        <v>92</v>
      </c>
      <c r="H45" s="0" t="n">
        <v>310</v>
      </c>
      <c r="I45" s="0" t="n">
        <v>3</v>
      </c>
      <c r="J45" s="2" t="s">
        <v>15</v>
      </c>
      <c r="K45" s="2" t="s">
        <v>48</v>
      </c>
      <c r="L45" s="3" t="b">
        <f aca="false">TRUE()</f>
        <v>1</v>
      </c>
    </row>
    <row r="46" customFormat="false" ht="14.25" hidden="false" customHeight="false" outlineLevel="0" collapsed="false">
      <c r="A46" s="0" t="s">
        <v>136</v>
      </c>
      <c r="B46" s="0" t="s">
        <v>137</v>
      </c>
      <c r="C46" s="0" t="s">
        <v>31</v>
      </c>
      <c r="D46" s="0" t="s">
        <v>52</v>
      </c>
      <c r="E46" s="0" t="s">
        <v>16</v>
      </c>
      <c r="F46" s="1" t="n">
        <v>44959</v>
      </c>
      <c r="G46" s="0" t="n">
        <v>226</v>
      </c>
      <c r="H46" s="0" t="n">
        <v>1073</v>
      </c>
      <c r="I46" s="0" t="n">
        <v>3</v>
      </c>
      <c r="J46" s="2" t="s">
        <v>23</v>
      </c>
      <c r="K46" s="2" t="s">
        <v>48</v>
      </c>
      <c r="L46" s="3" t="b">
        <f aca="false">FALSE()</f>
        <v>0</v>
      </c>
    </row>
    <row r="47" customFormat="false" ht="14.25" hidden="false" customHeight="false" outlineLevel="0" collapsed="false">
      <c r="A47" s="0" t="s">
        <v>138</v>
      </c>
      <c r="B47" s="0" t="s">
        <v>139</v>
      </c>
      <c r="C47" s="0" t="s">
        <v>14</v>
      </c>
      <c r="D47" s="0" t="s">
        <v>33</v>
      </c>
      <c r="E47" s="0" t="s">
        <v>16</v>
      </c>
      <c r="F47" s="1" t="n">
        <v>45075</v>
      </c>
      <c r="G47" s="0" t="n">
        <v>155</v>
      </c>
      <c r="H47" s="0" t="n">
        <v>264</v>
      </c>
      <c r="I47" s="0" t="n">
        <v>2</v>
      </c>
      <c r="J47" s="2" t="s">
        <v>57</v>
      </c>
      <c r="K47" s="2" t="s">
        <v>17</v>
      </c>
      <c r="L47" s="3" t="b">
        <f aca="false">TRUE()</f>
        <v>1</v>
      </c>
    </row>
    <row r="48" customFormat="false" ht="14.25" hidden="false" customHeight="false" outlineLevel="0" collapsed="false">
      <c r="A48" s="0" t="s">
        <v>140</v>
      </c>
      <c r="B48" s="0" t="s">
        <v>141</v>
      </c>
      <c r="C48" s="0" t="s">
        <v>31</v>
      </c>
      <c r="D48" s="0" t="s">
        <v>33</v>
      </c>
      <c r="E48" s="0" t="s">
        <v>39</v>
      </c>
      <c r="F48" s="1" t="n">
        <v>44928</v>
      </c>
      <c r="G48" s="0" t="n">
        <v>150</v>
      </c>
      <c r="H48" s="0" t="n">
        <v>1154</v>
      </c>
      <c r="I48" s="0" t="n">
        <v>2</v>
      </c>
      <c r="J48" s="2" t="s">
        <v>42</v>
      </c>
      <c r="K48" s="2" t="s">
        <v>17</v>
      </c>
      <c r="L48" s="3" t="b">
        <f aca="false">TRUE()</f>
        <v>1</v>
      </c>
    </row>
    <row r="49" customFormat="false" ht="14.25" hidden="false" customHeight="false" outlineLevel="0" collapsed="false">
      <c r="A49" s="0" t="s">
        <v>142</v>
      </c>
      <c r="B49" s="0" t="s">
        <v>143</v>
      </c>
      <c r="C49" s="0" t="s">
        <v>31</v>
      </c>
      <c r="D49" s="0" t="s">
        <v>80</v>
      </c>
      <c r="E49" s="0" t="s">
        <v>39</v>
      </c>
      <c r="F49" s="1" t="n">
        <v>44956</v>
      </c>
      <c r="G49" s="0" t="n">
        <v>100</v>
      </c>
      <c r="H49" s="0" t="n">
        <v>470</v>
      </c>
      <c r="I49" s="0" t="n">
        <v>2</v>
      </c>
      <c r="J49" s="2" t="s">
        <v>42</v>
      </c>
      <c r="K49" s="2" t="s">
        <v>17</v>
      </c>
      <c r="L49" s="3" t="b">
        <f aca="false">FALSE()</f>
        <v>0</v>
      </c>
    </row>
    <row r="50" customFormat="false" ht="14.25" hidden="false" customHeight="false" outlineLevel="0" collapsed="false">
      <c r="A50" s="0" t="s">
        <v>144</v>
      </c>
      <c r="B50" s="0" t="s">
        <v>145</v>
      </c>
      <c r="C50" s="0" t="s">
        <v>26</v>
      </c>
      <c r="D50" s="0" t="s">
        <v>43</v>
      </c>
      <c r="E50" s="0" t="s">
        <v>22</v>
      </c>
      <c r="F50" s="1" t="n">
        <v>45089</v>
      </c>
      <c r="G50" s="0" t="n">
        <v>115</v>
      </c>
      <c r="H50" s="0" t="n">
        <v>423</v>
      </c>
      <c r="I50" s="0" t="n">
        <v>1</v>
      </c>
      <c r="J50" s="2" t="s">
        <v>80</v>
      </c>
      <c r="K50" s="2" t="s">
        <v>17</v>
      </c>
      <c r="L50" s="3" t="b">
        <f aca="false">FALSE()</f>
        <v>0</v>
      </c>
    </row>
    <row r="51" customFormat="false" ht="14.25" hidden="false" customHeight="false" outlineLevel="0" collapsed="false">
      <c r="A51" s="0" t="s">
        <v>146</v>
      </c>
      <c r="B51" s="0" t="s">
        <v>147</v>
      </c>
      <c r="C51" s="0" t="s">
        <v>63</v>
      </c>
      <c r="D51" s="0" t="s">
        <v>72</v>
      </c>
      <c r="E51" s="0" t="s">
        <v>39</v>
      </c>
      <c r="F51" s="1" t="n">
        <v>44927</v>
      </c>
      <c r="G51" s="0" t="n">
        <v>106</v>
      </c>
      <c r="H51" s="0" t="n">
        <v>1330</v>
      </c>
      <c r="I51" s="0" t="n">
        <v>4</v>
      </c>
      <c r="J51" s="2" t="s">
        <v>86</v>
      </c>
      <c r="K51" s="2" t="s">
        <v>83</v>
      </c>
      <c r="L51" s="3" t="b">
        <f aca="false">FALSE()</f>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dimension ref="A1:C27"/>
  <sheetViews>
    <sheetView workbookViewId="0"/>
  </sheetViews>
  <sheetData>
    <row r="1">
      <c r="A1" t="s">
        <v>148</v>
      </c>
      <c r="B1" t="s">
        <v>149</v>
      </c>
      <c r="C1" t="s">
        <v>150</v>
      </c>
    </row>
    <row r="2">
      <c r="A2" t="s">
        <v>151</v>
      </c>
      <c r="B2" t="str">
        <f>=COUNTA('support_tickets_data'!A2:A51)</f>
      </c>
      <c r="C2" t="s">
        <v>150</v>
      </c>
    </row>
    <row r="3">
      <c r="A3" t="s">
        <v>152</v>
      </c>
      <c r="B3" t="str">
        <f>=COUNTIF('support_tickets_data'!L2:L51, TRUE)</f>
      </c>
      <c r="C3" t="s">
        <v>150</v>
      </c>
    </row>
    <row r="4">
      <c r="A4" t="s">
        <v>153</v>
      </c>
      <c r="B4" t="str">
        <f>=COUNTIF('support_tickets_data'!L2:L51, TRUE)/COUNTA('support_tickets_data'!A2:A51)</f>
      </c>
      <c r="C4" t="s">
        <v>150</v>
      </c>
    </row>
    <row r="5">
      <c r="A5" t="s">
        <v>154</v>
      </c>
      <c r="B5" t="str">
        <f>=AVERAGE('support_tickets_data'!I2:I51)</f>
      </c>
      <c r="C5" t="s">
        <v>150</v>
      </c>
    </row>
    <row r="6">
      <c r="A6" t="s">
        <v>150</v>
      </c>
      <c r="B6" t="s">
        <v>150</v>
      </c>
      <c r="C6" t="s">
        <v>150</v>
      </c>
    </row>
    <row r="7">
      <c r="A7" t="s">
        <v>155</v>
      </c>
      <c r="B7" t="s">
        <v>156</v>
      </c>
      <c r="C7" t="s">
        <v>150</v>
      </c>
    </row>
    <row r="8">
      <c r="A8" t="s">
        <v>14</v>
      </c>
      <c r="B8" t="str">
        <f>=COUNTIF('support_tickets_data'!C2:C51, "API Issue")</f>
      </c>
      <c r="C8" t="s">
        <v>150</v>
      </c>
    </row>
    <row r="9">
      <c r="A9" t="s">
        <v>20</v>
      </c>
      <c r="B9" t="str">
        <f>=COUNTIF('support_tickets_data'!C2:C51, "Login Issue")</f>
      </c>
      <c r="C9" t="s">
        <v>150</v>
      </c>
    </row>
    <row r="10">
      <c r="A10" t="s">
        <v>26</v>
      </c>
      <c r="B10" t="str">
        <f>=COUNTIF('support_tickets_data'!C2:C51, "Report Generation")</f>
      </c>
      <c r="C10" t="s">
        <v>150</v>
      </c>
    </row>
    <row r="11">
      <c r="A11" t="s">
        <v>31</v>
      </c>
      <c r="B11" t="str">
        <f>=COUNTIF('support_tickets_data'!C2:C51, "Data Import")</f>
      </c>
      <c r="C11" t="s">
        <v>150</v>
      </c>
    </row>
    <row r="12">
      <c r="A12" t="s">
        <v>37</v>
      </c>
      <c r="B12" t="str">
        <f>=COUNTIF('support_tickets_data'!C2:C51, "Feature Request")</f>
      </c>
      <c r="C12" t="s">
        <v>150</v>
      </c>
    </row>
    <row r="13">
      <c r="A13" t="s">
        <v>63</v>
      </c>
      <c r="B13" t="str">
        <f>=COUNTIF('support_tickets_data'!C2:C51, "Billing Issue")</f>
      </c>
      <c r="C13" t="s">
        <v>150</v>
      </c>
    </row>
    <row r="14">
      <c r="A14" t="s">
        <v>79</v>
      </c>
      <c r="B14" t="str">
        <f>=COUNTIF('support_tickets_data'!C2:C51, "UI Bug")</f>
      </c>
      <c r="C14" t="s">
        <v>150</v>
      </c>
    </row>
    <row r="15">
      <c r="A15" t="s">
        <v>150</v>
      </c>
      <c r="B15" t="s">
        <v>150</v>
      </c>
      <c r="C15" t="s">
        <v>150</v>
      </c>
    </row>
    <row r="16">
      <c r="A16" t="s">
        <v>157</v>
      </c>
      <c r="B16" t="s">
        <v>158</v>
      </c>
      <c r="C16" t="s">
        <v>159</v>
      </c>
    </row>
    <row r="17">
      <c r="A17" t="s">
        <v>22</v>
      </c>
      <c r="B17" t="str">
        <f>=AVERAGEIF('support_tickets_data'!E2:E51, "Low", 'support_tickets_data'!G2:G51)</f>
      </c>
      <c r="C17" t="str">
        <f>=AVERAGEIF('support_tickets_data'!E2:E51, "Low", 'support_tickets_data'!H2:H51)</f>
      </c>
    </row>
    <row r="18">
      <c r="A18" t="s">
        <v>39</v>
      </c>
      <c r="B18" t="str">
        <f>=AVERAGEIF('support_tickets_data'!E2:E51, "Medium", 'support_tickets_data'!G2:G51)</f>
      </c>
      <c r="C18" t="str">
        <f>=AVERAGEIF('support_tickets_data'!E2:E51, "Medium", 'support_tickets_data'!H2:H51)</f>
      </c>
    </row>
    <row r="19">
      <c r="A19" t="s">
        <v>16</v>
      </c>
      <c r="B19" t="str">
        <f>=AVERAGEIF('support_tickets_data'!E2:E51, "High", 'support_tickets_data'!G2:G51)</f>
      </c>
      <c r="C19" t="str">
        <f>=AVERAGEIF('support_tickets_data'!E2:E51, "High", 'support_tickets_data'!H2:H51)</f>
      </c>
    </row>
    <row r="20">
      <c r="A20" t="s">
        <v>51</v>
      </c>
      <c r="B20" t="str">
        <f>=AVERAGEIF('support_tickets_data'!E2:E51, "Critical", 'support_tickets_data'!G2:G51)</f>
      </c>
      <c r="C20" t="str">
        <f>=AVERAGEIF('support_tickets_data'!E2:E51, "Critical", 'support_tickets_data'!H2:H51)</f>
      </c>
    </row>
    <row r="21">
      <c r="A21" t="s">
        <v>150</v>
      </c>
      <c r="B21" t="s">
        <v>150</v>
      </c>
      <c r="C21" t="s">
        <v>150</v>
      </c>
    </row>
    <row r="22">
      <c r="A22" t="s">
        <v>160</v>
      </c>
      <c r="B22" t="s">
        <v>154</v>
      </c>
      <c r="C22" t="s">
        <v>150</v>
      </c>
    </row>
    <row r="23">
      <c r="A23" t="s">
        <v>48</v>
      </c>
      <c r="B23" t="str">
        <f>=AVERAGEIF('support_tickets_data'!K2:K51, "A001", 'support_tickets_data'!I2:I51)</f>
      </c>
      <c r="C23" t="s">
        <v>150</v>
      </c>
    </row>
    <row r="24">
      <c r="A24" t="s">
        <v>44</v>
      </c>
      <c r="B24" t="str">
        <f>=AVERAGEIF('support_tickets_data'!K2:K51, "A002", 'support_tickets_data'!I2:I51)</f>
      </c>
      <c r="C24" t="s">
        <v>150</v>
      </c>
    </row>
    <row r="25">
      <c r="A25" t="s">
        <v>34</v>
      </c>
      <c r="B25" t="str">
        <f>=AVERAGEIF('support_tickets_data'!K2:K51, "A003", 'support_tickets_data'!I2:I51)</f>
      </c>
      <c r="C25" t="s">
        <v>150</v>
      </c>
    </row>
    <row r="26">
      <c r="A26" t="s">
        <v>17</v>
      </c>
      <c r="B26" t="str">
        <f>=AVERAGEIF('support_tickets_data'!K2:K51, "A004", 'support_tickets_data'!I2:I51)</f>
      </c>
      <c r="C26" t="s">
        <v>150</v>
      </c>
    </row>
    <row r="27">
      <c r="A27" t="s">
        <v>83</v>
      </c>
      <c r="B27" t="str">
        <f>=AVERAGEIF('support_tickets_data'!K2:K51, "A005", 'support_tickets_data'!I2:I51)</f>
      </c>
      <c r="C27" t="s">
        <v>150</v>
      </c>
    </row>
  </sheetData>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2025-08-03T11:18:54Z</dcterms:created>
  <dc:creator>Laxmi Kant Tiwari</dc:creator>
  <dc:description/>
  <dc:language>en-US</dc:language>
  <cp:lastModifiedBy/>
  <dcterms:modified xsi:type="dcterms:W3CDTF">2026-03-07T10:34:21Z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